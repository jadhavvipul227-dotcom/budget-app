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Dashboard" sheetId="1" r:id="rId1"/>
    <sheet name="Transactions" sheetId="2" r:id="rId2"/>
    <sheet name="Income" sheetId="3" r:id="rId3"/>
    <sheet name="Expense" sheetId="4" r:id="rId4"/>
    <sheet name="Monthly Summary" sheetId="5" r:id="rId5"/>
    <sheet name="Categories" sheetId="6" r:id="rId6"/>
    <sheet name="Saving Tracker" sheetId="7" r:id="rId7"/>
    <sheet name="Project Overview" sheetId="8" r:id="rId8"/>
  </sheets>
  <definedNames>
    <definedName name="_xlnm._FilterDatabase" localSheetId="1" hidden="1">Transactions!$A$1:$F$21</definedName>
    <definedName name="_xlnm._FilterDatabase" localSheetId="2" hidden="1">Income!$A$1:$D$5</definedName>
    <definedName name="_xlnm._FilterDatabase" localSheetId="3" hidden="1">Expense!$A$1:$D$17</definedName>
    <definedName name="_xlnm._FilterDatabase" localSheetId="5" hidden="1">Categories!$A$1:$B$13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<sst xmlns="http://schemas.openxmlformats.org/spreadsheetml/2006/main" count="313" uniqueCount="103">
  <si>
    <t>PERSONAL BUDGET MANAGEMENT SYSTEM</t>
  </si>
  <si>
    <t>TOTAL INCOME</t>
  </si>
  <si>
    <t>TOTAL EXPENSE</t>
  </si>
  <si>
    <t>TOTAL SAVINGS</t>
  </si>
  <si>
    <t>SAVINGS %</t>
  </si>
  <si>
    <t>Key Project Features</t>
  </si>
  <si>
    <t>Income vs Expense</t>
  </si>
  <si>
    <t>Expense by Category</t>
  </si>
  <si>
    <t>✓ Tracks Income</t>
  </si>
  <si>
    <t>Type</t>
  </si>
  <si>
    <t>Amount</t>
  </si>
  <si>
    <t>Category</t>
  </si>
  <si>
    <t>✓ Tracks Expenses</t>
  </si>
  <si>
    <t>Income</t>
  </si>
  <si>
    <t>Food</t>
  </si>
  <si>
    <t>✓ Calculates Savings</t>
  </si>
  <si>
    <t>Expense</t>
  </si>
  <si>
    <t>Transport</t>
  </si>
  <si>
    <t>✓ Monthly Analysis</t>
  </si>
  <si>
    <t>Rent</t>
  </si>
  <si>
    <t>✓ Charts &amp; Graphs</t>
  </si>
  <si>
    <t>Shopping</t>
  </si>
  <si>
    <t>✓ Excel-based Database</t>
  </si>
  <si>
    <t>Entertainment</t>
  </si>
  <si>
    <t>✓ Browser Dashboard</t>
  </si>
  <si>
    <t>Bills</t>
  </si>
  <si>
    <t>✓ Category Analysis</t>
  </si>
  <si>
    <t>Health</t>
  </si>
  <si>
    <t>RECENT TRANSACTIONS</t>
  </si>
  <si>
    <t>Date</t>
  </si>
  <si>
    <t>Description</t>
  </si>
  <si>
    <t>Payment Mode</t>
  </si>
  <si>
    <t>27-09-2026</t>
  </si>
  <si>
    <t>Internet Bill</t>
  </si>
  <si>
    <t>UPI</t>
  </si>
  <si>
    <t>29-09-2026</t>
  </si>
  <si>
    <t>Bonus</t>
  </si>
  <si>
    <t>Performance Bonus</t>
  </si>
  <si>
    <t>Bank</t>
  </si>
  <si>
    <t>01-10-2026</t>
  </si>
  <si>
    <t>Salary</t>
  </si>
  <si>
    <t>Monthly Salary</t>
  </si>
  <si>
    <t>02-10-2026</t>
  </si>
  <si>
    <t>House Rent</t>
  </si>
  <si>
    <t>03-10-2026</t>
  </si>
  <si>
    <t>Groceries</t>
  </si>
  <si>
    <t>04-10-2026</t>
  </si>
  <si>
    <t>Fuel</t>
  </si>
  <si>
    <t>Card</t>
  </si>
  <si>
    <t>05-10-2026</t>
  </si>
  <si>
    <t>Electricity Bill</t>
  </si>
  <si>
    <t>06-10-2026</t>
  </si>
  <si>
    <t>Movie</t>
  </si>
  <si>
    <t>Monthly Income vs Expense</t>
  </si>
  <si>
    <t>Month</t>
  </si>
  <si>
    <t>Savings</t>
  </si>
  <si>
    <t>September 2026</t>
  </si>
  <si>
    <t>October 2026</t>
  </si>
  <si>
    <t>01-09-2026</t>
  </si>
  <si>
    <t>02-09-2026</t>
  </si>
  <si>
    <t>04-09-2026</t>
  </si>
  <si>
    <t>Bus and Auto</t>
  </si>
  <si>
    <t>06-09-2026</t>
  </si>
  <si>
    <t>08-09-2026</t>
  </si>
  <si>
    <t>Clothes</t>
  </si>
  <si>
    <t>10-09-2026</t>
  </si>
  <si>
    <t>12-09-2026</t>
  </si>
  <si>
    <t>15-09-2026</t>
  </si>
  <si>
    <t>Freelance</t>
  </si>
  <si>
    <t>Freelance Work</t>
  </si>
  <si>
    <t>18-09-2026</t>
  </si>
  <si>
    <t>Restaurant</t>
  </si>
  <si>
    <t>20-09-2026</t>
  </si>
  <si>
    <t>Medicines</t>
  </si>
  <si>
    <t>22-09-2026</t>
  </si>
  <si>
    <t>25-09-2026</t>
  </si>
  <si>
    <t>Household Items</t>
  </si>
  <si>
    <t>Source</t>
  </si>
  <si>
    <t>Company</t>
  </si>
  <si>
    <t>Freelance Client</t>
  </si>
  <si>
    <t>Savings %</t>
  </si>
  <si>
    <t>Education</t>
  </si>
  <si>
    <t>Other</t>
  </si>
  <si>
    <t>Goal</t>
  </si>
  <si>
    <t>Actual Savings</t>
  </si>
  <si>
    <t>Status</t>
  </si>
  <si>
    <t>BUDGET MANAGEMENT SYSTEM - PROJECT OVERVIEW</t>
  </si>
  <si>
    <t>Project Objective</t>
  </si>
  <si>
    <t>A web-based dashboard that reads Excel data, tracks income and expenses, calculates savings, and provides monthly analysis.</t>
  </si>
  <si>
    <t>Frontend</t>
  </si>
  <si>
    <t>Streamlit</t>
  </si>
  <si>
    <t>Backend</t>
  </si>
  <si>
    <t>Python</t>
  </si>
  <si>
    <t>Analysis</t>
  </si>
  <si>
    <t>Pandas</t>
  </si>
  <si>
    <t>Charts</t>
  </si>
  <si>
    <t>Plotly + Matplotlib</t>
  </si>
  <si>
    <t>Database</t>
  </si>
  <si>
    <t>Excel Workbook</t>
  </si>
  <si>
    <t>IDE</t>
  </si>
  <si>
    <t>PyCharm</t>
  </si>
  <si>
    <t>Main Features</t>
  </si>
  <si>
    <t>Income tracking, expense tracking, savings calculation, category analysis, monthly trends and dashboard.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</si>
</sst>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</numFmts>
  <fonts count="32">
    <font>
      <sz val="11"/>
      <color theme="1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4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20"/>
      <color rgb="FF333333"/>
      <name val="Calibri"/>
      <charset val="134"/>
      <scheme val="minor"/>
    </font>
    <font>
      <b/>
      <sz val="16"/>
      <color rgb="FF1F4E78"/>
      <name val="Calibri"/>
      <charset val="134"/>
      <scheme val="minor"/>
    </font>
    <font>
      <sz val="12"/>
      <color rgb="FF33333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80" fontId="0" fillId="0" borderId="1" xfId="0" applyNumberForma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80" fontId="0" fillId="0" borderId="3" xfId="0" applyNumberFormat="1" applyBorder="1" applyAlignment="1">
      <alignment vertical="center"/>
    </xf>
    <xf numFmtId="10" fontId="0" fillId="0" borderId="3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0" fontId="7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7" fillId="4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0" xfId="0" applyBorder="1"/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vertical="center"/>
    </xf>
    <xf numFmtId="0" fontId="11" fillId="2" borderId="0" xfId="0" applyFont="1" applyFill="1" applyAlignment="1">
      <alignment vertical="center"/>
    </xf>
    <xf numFmtId="0" fontId="8" fillId="0" borderId="6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Income vs Expense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Dashboard!$D$10:$D$11</c:f>
              <c:strCache>
                <c:ptCount val="2"/>
                <c:pt idx="0">
                  <c:v>Income</c:v>
                </c:pt>
                <c:pt idx="1">
                  <c:v>Expense</c:v>
                </c:pt>
              </c:strCache>
            </c:strRef>
          </c:cat>
          <c:val>
            <c:numRef>
              <c:f>Dashboard!$E$10:$E$11</c:f>
              <c:numCache>
                <c:formatCode>General</c:formatCode>
                <c:ptCount val="2"/>
                <c:pt idx="0">
                  <c:v>113000</c:v>
                </c:pt>
                <c:pt idx="1">
                  <c:v>48600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55ba83-5961-4d1d-abc6-1082e1a0d1d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Expense Category Analysis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Dashboard!$H$9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Dashboard!$G$10:$G$16</c:f>
              <c:strCache>
                <c:ptCount val="7"/>
                <c:pt idx="0">
                  <c:v>Food</c:v>
                </c:pt>
                <c:pt idx="1">
                  <c:v>Transport</c:v>
                </c:pt>
                <c:pt idx="2">
                  <c:v>Rent</c:v>
                </c:pt>
                <c:pt idx="3">
                  <c:v>Shopping</c:v>
                </c:pt>
                <c:pt idx="4">
                  <c:v>Entertainment</c:v>
                </c:pt>
                <c:pt idx="5">
                  <c:v>Bills</c:v>
                </c:pt>
                <c:pt idx="6">
                  <c:v>Health</c:v>
                </c:pt>
              </c:strCache>
            </c:strRef>
          </c:cat>
          <c:val>
            <c:numRef>
              <c:f>Dashboard!$H$10:$H$16</c:f>
              <c:numCache>
                <c:formatCode>"₹"#,##0.00</c:formatCode>
                <c:ptCount val="7"/>
                <c:pt idx="0">
                  <c:v>7900</c:v>
                </c:pt>
                <c:pt idx="1">
                  <c:v>6200</c:v>
                </c:pt>
                <c:pt idx="2">
                  <c:v>24000</c:v>
                </c:pt>
                <c:pt idx="3">
                  <c:v>4000</c:v>
                </c:pt>
                <c:pt idx="4">
                  <c:v>1400</c:v>
                </c:pt>
                <c:pt idx="5">
                  <c:v>4400</c:v>
                </c:pt>
                <c:pt idx="6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(₹)</a:t>
                </a:r>
              </a:p>
            </c:rich>
          </c:tx>
          <c:layout/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6fb4c0-66b0-462d-b883-3125c102b69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Financial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Dashboard!$B$39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Dashboard!$A$40:$A$41</c:f>
              <c:strCache>
                <c:ptCount val="2"/>
                <c:pt idx="0">
                  <c:v>September 2026</c:v>
                </c:pt>
                <c:pt idx="1">
                  <c:v>October 2026</c:v>
                </c:pt>
              </c:strCache>
            </c:strRef>
          </c:cat>
          <c:val>
            <c:numRef>
              <c:f>Dashboard!$B$40:$B$41</c:f>
              <c:numCache>
                <c:formatCode>"₹"#,##0.00</c:formatCode>
                <c:ptCount val="2"/>
                <c:pt idx="0">
                  <c:v>63000</c:v>
                </c:pt>
                <c:pt idx="1">
                  <c:v>50000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Dashboard!$C$39</c:f>
              <c:strCache>
                <c:ptCount val="1"/>
                <c:pt idx="0">
                  <c:v>Expense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Dashboard!$A$40:$A$41</c:f>
              <c:strCache>
                <c:ptCount val="2"/>
                <c:pt idx="0">
                  <c:v>September 2026</c:v>
                </c:pt>
                <c:pt idx="1">
                  <c:v>October 2026</c:v>
                </c:pt>
              </c:strCache>
            </c:strRef>
          </c:cat>
          <c:val>
            <c:numRef>
              <c:f>Dashboard!$C$40:$C$41</c:f>
              <c:numCache>
                <c:formatCode>"₹"#,##0.00</c:formatCode>
                <c:ptCount val="2"/>
                <c:pt idx="0">
                  <c:v>28900</c:v>
                </c:pt>
                <c:pt idx="1">
                  <c:v>19700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Dashboard!$D$39</c:f>
              <c:strCache>
                <c:ptCount val="1"/>
                <c:pt idx="0">
                  <c:v>Savings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Dashboard!$A$40:$A$41</c:f>
              <c:strCache>
                <c:ptCount val="2"/>
                <c:pt idx="0">
                  <c:v>September 2026</c:v>
                </c:pt>
                <c:pt idx="1">
                  <c:v>October 2026</c:v>
                </c:pt>
              </c:strCache>
            </c:strRef>
          </c:cat>
          <c:val>
            <c:numRef>
              <c:f>Dashboard!$D$40:$D$41</c:f>
              <c:numCache>
                <c:formatCode>"₹"#,##0.00</c:formatCode>
                <c:ptCount val="2"/>
                <c:pt idx="0">
                  <c:v>34100</c:v>
                </c:pt>
                <c:pt idx="1">
                  <c:v>30300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(₹)</a:t>
                </a:r>
              </a:p>
            </c:rich>
          </c:tx>
          <c:layout/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0edee7-6ca6-4f7c-bc8f-4421f26cea4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11</xdr:row>
      <xdr:rowOff>241300</xdr:rowOff>
    </xdr:from>
    <xdr:ext cx="3600000" cy="2520000"/>
    <xdr:graphicFrame>
      <xdr:nvGraphicFramePr>
        <xdr:cNvPr id="2" name="Chart 1"/>
        <xdr:cNvGraphicFramePr/>
      </xdr:nvGraphicFramePr>
      <xdr:xfrm>
        <a:off x="3600450" y="3517900"/>
        <a:ext cx="359981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4680000" cy="2880000"/>
    <xdr:graphicFrame>
      <xdr:nvGraphicFramePr>
        <xdr:cNvPr id="3" name="Chart 2"/>
        <xdr:cNvGraphicFramePr/>
      </xdr:nvGraphicFramePr>
      <xdr:xfrm>
        <a:off x="7734300" y="3556000"/>
        <a:ext cx="46799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6480000" cy="2880000"/>
    <xdr:graphicFrame>
      <xdr:nvGraphicFramePr>
        <xdr:cNvPr id="4" name="Chart 3"/>
        <xdr:cNvGraphicFramePr/>
      </xdr:nvGraphicFramePr>
      <xdr:xfrm>
        <a:off x="0" y="11938000"/>
        <a:ext cx="647954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showGridLines="0" tabSelected="1" zoomScale="85" zoomScaleNormal="85" workbookViewId="0">
      <pane ySplit="3" topLeftCell="A4" activePane="bottomLeft" state="frozen"/>
      <selection/>
      <selection pane="bottomLeft" activeCell="C16" sqref="C16"/>
    </sheetView>
  </sheetViews>
  <sheetFormatPr defaultColWidth="9" defaultRowHeight="15"/>
  <cols>
    <col min="1" max="3" width="18" customWidth="1"/>
    <col min="4" max="4" width="26" customWidth="1"/>
    <col min="5" max="6" width="18" customWidth="1"/>
    <col min="7" max="7" width="20" customWidth="1"/>
    <col min="8" max="8" width="18" customWidth="1"/>
  </cols>
  <sheetData>
    <row r="1" ht="30" customHeight="1" spans="1:9">
      <c r="A1" s="15" t="s">
        <v>0</v>
      </c>
      <c r="B1" s="16"/>
      <c r="C1" s="16"/>
      <c r="D1" s="16"/>
      <c r="E1" s="16"/>
      <c r="F1" s="16"/>
      <c r="G1" s="16"/>
      <c r="H1" s="16"/>
    </row>
    <row r="2" ht="30" customHeight="1" spans="1:9">
      <c r="A2" s="16"/>
      <c r="B2" s="16"/>
      <c r="C2" s="16"/>
      <c r="D2" s="16"/>
      <c r="E2" s="16"/>
      <c r="F2" s="16"/>
      <c r="G2" s="16"/>
      <c r="H2" s="16"/>
    </row>
    <row r="3" ht="22" customHeight="1" spans="1:9">
      <c r="A3" s="16"/>
      <c r="B3" s="16"/>
      <c r="C3" s="16"/>
      <c r="D3" s="16"/>
      <c r="E3" s="16"/>
      <c r="F3" s="16"/>
      <c r="G3" s="16"/>
      <c r="H3" s="16"/>
    </row>
    <row r="4" ht="22" customHeight="1" spans="1:9">
      <c r="A4" s="17" t="s">
        <v>1</v>
      </c>
      <c r="B4" s="18"/>
      <c r="C4" s="17" t="s">
        <v>2</v>
      </c>
      <c r="D4" s="18"/>
      <c r="E4" s="17" t="s">
        <v>3</v>
      </c>
      <c r="F4" s="18"/>
      <c r="G4" s="17" t="s">
        <v>4</v>
      </c>
      <c r="H4" s="18"/>
    </row>
    <row r="5" ht="22" customHeight="1" spans="1:9">
      <c r="A5" s="19">
        <f>SUM(Income!D2:D5)</f>
        <v>113000</v>
      </c>
      <c r="B5" s="20"/>
      <c r="C5" s="19">
        <f>SUM(Expense!D2:D17)</f>
        <v>48600</v>
      </c>
      <c r="D5" s="20"/>
      <c r="E5" s="19">
        <f>A5-C5</f>
        <v>64400</v>
      </c>
      <c r="F5" s="20"/>
      <c r="G5" s="21">
        <f>IF(A5=0,0,E5/A5)</f>
        <v>0.569911504424779</v>
      </c>
      <c r="H5" s="20"/>
    </row>
    <row r="6" ht="22" customHeight="1" spans="1:9">
      <c r="A6" s="20"/>
      <c r="B6" s="20"/>
      <c r="C6" s="20"/>
      <c r="D6" s="20"/>
      <c r="E6" s="20"/>
      <c r="F6" s="20"/>
      <c r="G6" s="20"/>
      <c r="H6" s="20"/>
    </row>
    <row r="7" ht="22" customHeight="1" spans="1:9">
      <c r="A7" s="16"/>
      <c r="B7" s="16"/>
      <c r="C7" s="16"/>
      <c r="D7" s="16"/>
      <c r="E7" s="16"/>
      <c r="F7" s="16"/>
      <c r="G7" s="16"/>
      <c r="H7" s="16"/>
    </row>
    <row r="8" ht="22" customHeight="1" spans="1:9">
      <c r="A8" s="22" t="s">
        <v>5</v>
      </c>
      <c r="B8" s="23"/>
      <c r="C8" s="16"/>
      <c r="D8" s="22" t="s">
        <v>6</v>
      </c>
      <c r="E8" s="23"/>
      <c r="F8" s="16"/>
      <c r="G8" s="22" t="s">
        <v>7</v>
      </c>
      <c r="H8" s="23"/>
      <c r="I8" s="24"/>
    </row>
    <row r="9" ht="22" customHeight="1" spans="1:9">
      <c r="A9" s="25" t="s">
        <v>8</v>
      </c>
      <c r="B9" s="26"/>
      <c r="C9" s="16"/>
      <c r="D9" s="27" t="s">
        <v>9</v>
      </c>
      <c r="E9" s="27" t="s">
        <v>10</v>
      </c>
      <c r="F9" s="16"/>
      <c r="G9" s="27" t="s">
        <v>11</v>
      </c>
      <c r="H9" s="27" t="s">
        <v>10</v>
      </c>
      <c r="I9" s="24"/>
    </row>
    <row r="10" ht="22" customHeight="1" spans="1:9">
      <c r="A10" s="25" t="s">
        <v>12</v>
      </c>
      <c r="B10" s="26"/>
      <c r="C10" s="16"/>
      <c r="D10" s="20" t="s">
        <v>13</v>
      </c>
      <c r="E10" s="20">
        <f>A5</f>
        <v>113000</v>
      </c>
      <c r="F10" s="16"/>
      <c r="G10" s="20" t="s">
        <v>14</v>
      </c>
      <c r="H10" s="28">
        <v>7900</v>
      </c>
      <c r="I10" s="24"/>
    </row>
    <row r="11" ht="22" customHeight="1" spans="1:9">
      <c r="A11" s="25" t="s">
        <v>15</v>
      </c>
      <c r="B11" s="26"/>
      <c r="C11" s="16"/>
      <c r="D11" s="20" t="s">
        <v>16</v>
      </c>
      <c r="E11" s="20">
        <f>C5</f>
        <v>48600</v>
      </c>
      <c r="F11" s="16"/>
      <c r="G11" s="20" t="s">
        <v>17</v>
      </c>
      <c r="H11" s="28">
        <v>6200</v>
      </c>
      <c r="I11" s="24"/>
    </row>
    <row r="12" ht="22" customHeight="1" spans="1:9">
      <c r="A12" s="25" t="s">
        <v>18</v>
      </c>
      <c r="B12" s="26"/>
      <c r="C12" s="16"/>
      <c r="D12" s="16"/>
      <c r="E12" s="16"/>
      <c r="F12" s="16"/>
      <c r="G12" s="20" t="s">
        <v>19</v>
      </c>
      <c r="H12" s="28">
        <v>24000</v>
      </c>
      <c r="I12" s="24"/>
    </row>
    <row r="13" ht="22" customHeight="1" spans="1:9">
      <c r="A13" s="25" t="s">
        <v>20</v>
      </c>
      <c r="B13" s="26"/>
      <c r="C13" s="16"/>
      <c r="D13" s="16"/>
      <c r="E13" s="16"/>
      <c r="F13" s="16"/>
      <c r="G13" s="29" t="s">
        <v>21</v>
      </c>
      <c r="H13" s="30">
        <v>4000</v>
      </c>
    </row>
    <row r="14" ht="22" customHeight="1" spans="1:9">
      <c r="A14" s="25" t="s">
        <v>22</v>
      </c>
      <c r="B14" s="26"/>
      <c r="C14" s="16"/>
      <c r="D14" s="16"/>
      <c r="E14" s="16"/>
      <c r="F14" s="16"/>
      <c r="G14" s="16" t="s">
        <v>23</v>
      </c>
      <c r="H14" s="31">
        <v>1400</v>
      </c>
    </row>
    <row r="15" ht="22" customHeight="1" spans="1:9">
      <c r="A15" s="25" t="s">
        <v>24</v>
      </c>
      <c r="B15" s="26"/>
      <c r="C15" s="16"/>
      <c r="D15" s="16"/>
      <c r="E15" s="16"/>
      <c r="F15" s="16"/>
      <c r="G15" s="16" t="s">
        <v>25</v>
      </c>
      <c r="H15" s="31">
        <v>4400</v>
      </c>
    </row>
    <row r="16" ht="22" customHeight="1" spans="1:9">
      <c r="A16" s="25" t="s">
        <v>26</v>
      </c>
      <c r="B16" s="26"/>
      <c r="C16" s="16"/>
      <c r="D16" s="16"/>
      <c r="E16" s="16"/>
      <c r="F16" s="16"/>
      <c r="G16" s="16" t="s">
        <v>27</v>
      </c>
      <c r="H16" s="31">
        <v>700</v>
      </c>
    </row>
    <row r="17" ht="22" customHeight="1" spans="1:8">
      <c r="A17" s="16"/>
      <c r="B17" s="16"/>
      <c r="C17" s="16"/>
      <c r="D17" s="16"/>
      <c r="E17" s="16"/>
      <c r="F17" s="16"/>
      <c r="G17" s="16"/>
      <c r="H17" s="16"/>
    </row>
    <row r="18" ht="22" customHeight="1" spans="1:8">
      <c r="A18" s="16"/>
      <c r="B18" s="16"/>
      <c r="C18" s="16"/>
      <c r="D18" s="16"/>
      <c r="E18" s="16"/>
      <c r="F18" s="16"/>
      <c r="G18" s="16"/>
      <c r="H18" s="16"/>
    </row>
    <row r="19" ht="22" customHeight="1" spans="1:8">
      <c r="A19" s="16"/>
      <c r="B19" s="16"/>
      <c r="C19" s="16"/>
      <c r="D19" s="16"/>
      <c r="E19" s="16"/>
      <c r="F19" s="16"/>
      <c r="G19" s="16"/>
      <c r="H19" s="16"/>
    </row>
    <row r="20" ht="22" customHeight="1" spans="1:8">
      <c r="A20" s="16"/>
      <c r="B20" s="16"/>
      <c r="C20" s="16"/>
      <c r="D20" s="16"/>
      <c r="E20" s="16"/>
      <c r="F20" s="16"/>
      <c r="G20" s="16"/>
      <c r="H20" s="16"/>
    </row>
    <row r="21" ht="22" customHeight="1" spans="1:8">
      <c r="A21" s="16"/>
      <c r="B21" s="16"/>
      <c r="C21" s="16"/>
      <c r="D21" s="16"/>
      <c r="E21" s="16"/>
      <c r="F21" s="16"/>
      <c r="G21" s="16"/>
      <c r="H21" s="16"/>
    </row>
    <row r="22" ht="22" customHeight="1" spans="1:8">
      <c r="A22" s="16"/>
      <c r="B22" s="16"/>
      <c r="C22" s="16"/>
      <c r="D22" s="16"/>
      <c r="E22" s="16"/>
      <c r="F22" s="16"/>
      <c r="G22" s="16"/>
      <c r="H22" s="16"/>
    </row>
    <row r="23" ht="22" customHeight="1" spans="1:8">
      <c r="A23" s="16"/>
      <c r="B23" s="16"/>
      <c r="C23" s="16"/>
      <c r="D23" s="16"/>
      <c r="E23" s="16"/>
      <c r="F23" s="16"/>
      <c r="G23" s="16"/>
      <c r="H23" s="16"/>
    </row>
    <row r="24" ht="22" customHeight="1" spans="1:8">
      <c r="A24" s="16"/>
      <c r="B24" s="16"/>
      <c r="C24" s="16"/>
      <c r="D24" s="16"/>
      <c r="E24" s="16"/>
      <c r="F24" s="16"/>
      <c r="G24" s="16"/>
      <c r="H24" s="16"/>
    </row>
    <row r="25" ht="22" customHeight="1" spans="1:8">
      <c r="A25" s="16"/>
      <c r="B25" s="16"/>
      <c r="C25" s="16"/>
      <c r="D25" s="16"/>
      <c r="E25" s="16"/>
      <c r="F25" s="16"/>
      <c r="G25" s="16"/>
      <c r="H25" s="16"/>
    </row>
    <row r="26" ht="22" customHeight="1" spans="1:8">
      <c r="A26" s="16"/>
      <c r="B26" s="16"/>
      <c r="C26" s="16"/>
      <c r="D26" s="16"/>
      <c r="E26" s="16"/>
      <c r="F26" s="16"/>
      <c r="G26" s="16"/>
      <c r="H26" s="16"/>
    </row>
    <row r="27" ht="22" customHeight="1" spans="1:8">
      <c r="A27" s="32" t="s">
        <v>28</v>
      </c>
      <c r="B27" s="16"/>
      <c r="C27" s="16"/>
      <c r="D27" s="16"/>
      <c r="E27" s="16"/>
      <c r="F27" s="16"/>
      <c r="G27" s="16"/>
      <c r="H27" s="16"/>
    </row>
    <row r="28" ht="22" customHeight="1" spans="1:8">
      <c r="A28" s="17" t="s">
        <v>29</v>
      </c>
      <c r="B28" s="17" t="s">
        <v>9</v>
      </c>
      <c r="C28" s="17" t="s">
        <v>11</v>
      </c>
      <c r="D28" s="17" t="s">
        <v>30</v>
      </c>
      <c r="E28" s="17" t="s">
        <v>10</v>
      </c>
      <c r="F28" s="17" t="s">
        <v>31</v>
      </c>
      <c r="G28" s="16"/>
      <c r="H28" s="16"/>
    </row>
    <row r="29" ht="22" customHeight="1" spans="1:8">
      <c r="A29" s="6" t="s">
        <v>32</v>
      </c>
      <c r="B29" s="6" t="s">
        <v>16</v>
      </c>
      <c r="C29" s="6" t="s">
        <v>25</v>
      </c>
      <c r="D29" s="6" t="s">
        <v>33</v>
      </c>
      <c r="E29" s="7">
        <v>900</v>
      </c>
      <c r="F29" s="6" t="s">
        <v>34</v>
      </c>
      <c r="G29" s="16"/>
      <c r="H29" s="16"/>
    </row>
    <row r="30" ht="22" customHeight="1" spans="1:8">
      <c r="A30" s="6" t="s">
        <v>35</v>
      </c>
      <c r="B30" s="6" t="s">
        <v>13</v>
      </c>
      <c r="C30" s="6" t="s">
        <v>36</v>
      </c>
      <c r="D30" s="6" t="s">
        <v>37</v>
      </c>
      <c r="E30" s="7">
        <v>5000</v>
      </c>
      <c r="F30" s="6" t="s">
        <v>38</v>
      </c>
      <c r="G30" s="16"/>
      <c r="H30" s="16"/>
    </row>
    <row r="31" ht="22" customHeight="1" spans="1:8">
      <c r="A31" s="6" t="s">
        <v>39</v>
      </c>
      <c r="B31" s="6" t="s">
        <v>13</v>
      </c>
      <c r="C31" s="6" t="s">
        <v>40</v>
      </c>
      <c r="D31" s="6" t="s">
        <v>41</v>
      </c>
      <c r="E31" s="7">
        <v>50000</v>
      </c>
      <c r="F31" s="6" t="s">
        <v>38</v>
      </c>
      <c r="G31" s="16"/>
      <c r="H31" s="16"/>
    </row>
    <row r="32" ht="22" customHeight="1" spans="1:8">
      <c r="A32" s="6" t="s">
        <v>42</v>
      </c>
      <c r="B32" s="6" t="s">
        <v>16</v>
      </c>
      <c r="C32" s="6" t="s">
        <v>19</v>
      </c>
      <c r="D32" s="6" t="s">
        <v>43</v>
      </c>
      <c r="E32" s="7">
        <v>12000</v>
      </c>
      <c r="F32" s="6" t="s">
        <v>38</v>
      </c>
      <c r="G32" s="16"/>
      <c r="H32" s="16"/>
    </row>
    <row r="33" ht="22" customHeight="1" spans="1:8">
      <c r="A33" s="6" t="s">
        <v>44</v>
      </c>
      <c r="B33" s="6" t="s">
        <v>16</v>
      </c>
      <c r="C33" s="6" t="s">
        <v>14</v>
      </c>
      <c r="D33" s="6" t="s">
        <v>45</v>
      </c>
      <c r="E33" s="7">
        <v>3200</v>
      </c>
      <c r="F33" s="6" t="s">
        <v>34</v>
      </c>
      <c r="G33" s="16"/>
      <c r="H33" s="16"/>
    </row>
    <row r="34" ht="22" customHeight="1" spans="1:8">
      <c r="A34" s="6" t="s">
        <v>46</v>
      </c>
      <c r="B34" s="6" t="s">
        <v>16</v>
      </c>
      <c r="C34" s="6" t="s">
        <v>17</v>
      </c>
      <c r="D34" s="6" t="s">
        <v>47</v>
      </c>
      <c r="E34" s="7">
        <v>2200</v>
      </c>
      <c r="F34" s="6" t="s">
        <v>48</v>
      </c>
      <c r="G34" s="16"/>
      <c r="H34" s="16"/>
    </row>
    <row r="35" ht="22" customHeight="1" spans="1:8">
      <c r="A35" s="6" t="s">
        <v>49</v>
      </c>
      <c r="B35" s="6" t="s">
        <v>16</v>
      </c>
      <c r="C35" s="6" t="s">
        <v>25</v>
      </c>
      <c r="D35" s="6" t="s">
        <v>50</v>
      </c>
      <c r="E35" s="7">
        <v>1700</v>
      </c>
      <c r="F35" s="6" t="s">
        <v>34</v>
      </c>
      <c r="G35" s="16"/>
      <c r="H35" s="16"/>
    </row>
    <row r="36" ht="22" customHeight="1" spans="1:8">
      <c r="A36" s="6" t="s">
        <v>51</v>
      </c>
      <c r="B36" s="6" t="s">
        <v>16</v>
      </c>
      <c r="C36" s="6" t="s">
        <v>23</v>
      </c>
      <c r="D36" s="6" t="s">
        <v>52</v>
      </c>
      <c r="E36" s="7">
        <v>600</v>
      </c>
      <c r="F36" s="6" t="s">
        <v>34</v>
      </c>
      <c r="G36" s="16"/>
      <c r="H36" s="16"/>
    </row>
    <row r="37" ht="22" customHeight="1" spans="1:8">
      <c r="A37" s="16"/>
      <c r="B37" s="16"/>
      <c r="C37" s="16"/>
      <c r="D37" s="16"/>
      <c r="E37" s="16"/>
      <c r="F37" s="16"/>
      <c r="G37" s="16"/>
      <c r="H37" s="16"/>
    </row>
    <row r="38" ht="22" customHeight="1" spans="1:8">
      <c r="A38" s="22" t="s">
        <v>53</v>
      </c>
      <c r="B38" s="33"/>
      <c r="C38" s="33"/>
      <c r="D38" s="23"/>
      <c r="E38" s="16"/>
      <c r="F38" s="16"/>
      <c r="G38" s="16"/>
      <c r="H38" s="16"/>
    </row>
    <row r="39" ht="22" customHeight="1" spans="1:8">
      <c r="A39" s="20" t="s">
        <v>54</v>
      </c>
      <c r="B39" s="20" t="s">
        <v>13</v>
      </c>
      <c r="C39" s="20" t="s">
        <v>16</v>
      </c>
      <c r="D39" s="20" t="s">
        <v>55</v>
      </c>
      <c r="E39" s="16"/>
      <c r="F39" s="16"/>
      <c r="G39" s="16"/>
      <c r="H39" s="16"/>
    </row>
    <row r="40" ht="22" customHeight="1" spans="1:8">
      <c r="A40" s="20" t="s">
        <v>56</v>
      </c>
      <c r="B40" s="28">
        <v>63000</v>
      </c>
      <c r="C40" s="28">
        <v>28900</v>
      </c>
      <c r="D40" s="28">
        <v>34100</v>
      </c>
      <c r="E40" s="16"/>
      <c r="F40" s="16"/>
      <c r="G40" s="16"/>
      <c r="H40" s="16"/>
    </row>
    <row r="41" ht="22" customHeight="1" spans="1:8">
      <c r="A41" s="20" t="s">
        <v>57</v>
      </c>
      <c r="B41" s="28">
        <v>50000</v>
      </c>
      <c r="C41" s="28">
        <v>19700</v>
      </c>
      <c r="D41" s="28">
        <v>30300</v>
      </c>
      <c r="E41" s="16"/>
      <c r="F41" s="16"/>
      <c r="G41" s="16"/>
      <c r="H41" s="16"/>
    </row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22">
    <mergeCell ref="A4:B4"/>
    <mergeCell ref="C4:D4"/>
    <mergeCell ref="E4:F4"/>
    <mergeCell ref="G4:H4"/>
    <mergeCell ref="A8:B8"/>
    <mergeCell ref="D8:E8"/>
    <mergeCell ref="G8:H8"/>
    <mergeCell ref="A9:B9"/>
    <mergeCell ref="A10:B10"/>
    <mergeCell ref="A11:B11"/>
    <mergeCell ref="A12:B12"/>
    <mergeCell ref="A13:B13"/>
    <mergeCell ref="A14:B14"/>
    <mergeCell ref="A15:B15"/>
    <mergeCell ref="A16:B16"/>
    <mergeCell ref="A27:H27"/>
    <mergeCell ref="A38:D38"/>
    <mergeCell ref="A5:B6"/>
    <mergeCell ref="C5:D6"/>
    <mergeCell ref="E5:F6"/>
    <mergeCell ref="G5:H6"/>
    <mergeCell ref="A1:H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H13" sqref="H13"/>
    </sheetView>
  </sheetViews>
  <sheetFormatPr defaultColWidth="9" defaultRowHeight="15" outlineLevelCol="5"/>
  <cols>
    <col min="1" max="1" width="14" customWidth="1"/>
    <col min="2" max="2" width="12" customWidth="1"/>
    <col min="3" max="3" width="18" customWidth="1"/>
    <col min="4" max="4" width="25" customWidth="1"/>
    <col min="5" max="6" width="15" customWidth="1"/>
  </cols>
  <sheetData>
    <row r="1" spans="1:6">
      <c r="A1" s="8" t="s">
        <v>29</v>
      </c>
      <c r="B1" s="8" t="s">
        <v>9</v>
      </c>
      <c r="C1" s="8" t="s">
        <v>11</v>
      </c>
      <c r="D1" s="8" t="s">
        <v>30</v>
      </c>
      <c r="E1" s="8" t="s">
        <v>10</v>
      </c>
      <c r="F1" s="8" t="s">
        <v>31</v>
      </c>
    </row>
    <row r="2" spans="1:6">
      <c r="A2" s="13" t="s">
        <v>58</v>
      </c>
      <c r="B2" s="9" t="s">
        <v>13</v>
      </c>
      <c r="C2" s="9" t="s">
        <v>40</v>
      </c>
      <c r="D2" s="9" t="s">
        <v>41</v>
      </c>
      <c r="E2" s="10">
        <v>50000</v>
      </c>
      <c r="F2" s="9" t="s">
        <v>38</v>
      </c>
    </row>
    <row r="3" spans="1:6">
      <c r="A3" s="14" t="s">
        <v>59</v>
      </c>
      <c r="B3" s="6" t="s">
        <v>16</v>
      </c>
      <c r="C3" s="6" t="s">
        <v>14</v>
      </c>
      <c r="D3" s="6" t="s">
        <v>45</v>
      </c>
      <c r="E3" s="7">
        <v>3500</v>
      </c>
      <c r="F3" s="6" t="s">
        <v>34</v>
      </c>
    </row>
    <row r="4" spans="1:6">
      <c r="A4" s="14" t="s">
        <v>60</v>
      </c>
      <c r="B4" s="6" t="s">
        <v>16</v>
      </c>
      <c r="C4" s="6" t="s">
        <v>17</v>
      </c>
      <c r="D4" s="6" t="s">
        <v>61</v>
      </c>
      <c r="E4" s="7">
        <v>1500</v>
      </c>
      <c r="F4" s="6" t="s">
        <v>34</v>
      </c>
    </row>
    <row r="5" spans="1:6">
      <c r="A5" s="14" t="s">
        <v>62</v>
      </c>
      <c r="B5" s="6" t="s">
        <v>16</v>
      </c>
      <c r="C5" s="6" t="s">
        <v>19</v>
      </c>
      <c r="D5" s="6" t="s">
        <v>43</v>
      </c>
      <c r="E5" s="7">
        <v>12000</v>
      </c>
      <c r="F5" s="6" t="s">
        <v>38</v>
      </c>
    </row>
    <row r="6" spans="1:6">
      <c r="A6" s="14" t="s">
        <v>63</v>
      </c>
      <c r="B6" s="6" t="s">
        <v>16</v>
      </c>
      <c r="C6" s="6" t="s">
        <v>21</v>
      </c>
      <c r="D6" s="6" t="s">
        <v>64</v>
      </c>
      <c r="E6" s="7">
        <v>2500</v>
      </c>
      <c r="F6" s="6" t="s">
        <v>48</v>
      </c>
    </row>
    <row r="7" spans="1:6">
      <c r="A7" s="14" t="s">
        <v>65</v>
      </c>
      <c r="B7" s="6" t="s">
        <v>16</v>
      </c>
      <c r="C7" s="6" t="s">
        <v>23</v>
      </c>
      <c r="D7" s="6" t="s">
        <v>52</v>
      </c>
      <c r="E7" s="7">
        <v>800</v>
      </c>
      <c r="F7" s="6" t="s">
        <v>34</v>
      </c>
    </row>
    <row r="8" spans="1:6">
      <c r="A8" s="14" t="s">
        <v>66</v>
      </c>
      <c r="B8" s="6" t="s">
        <v>16</v>
      </c>
      <c r="C8" s="6" t="s">
        <v>25</v>
      </c>
      <c r="D8" s="6" t="s">
        <v>50</v>
      </c>
      <c r="E8" s="7">
        <v>1800</v>
      </c>
      <c r="F8" s="6" t="s">
        <v>34</v>
      </c>
    </row>
    <row r="9" spans="1:6">
      <c r="A9" s="14" t="s">
        <v>67</v>
      </c>
      <c r="B9" s="6" t="s">
        <v>13</v>
      </c>
      <c r="C9" s="6" t="s">
        <v>68</v>
      </c>
      <c r="D9" s="6" t="s">
        <v>69</v>
      </c>
      <c r="E9" s="7">
        <v>8000</v>
      </c>
      <c r="F9" s="6" t="s">
        <v>38</v>
      </c>
    </row>
    <row r="10" spans="1:6">
      <c r="A10" s="14" t="s">
        <v>70</v>
      </c>
      <c r="B10" s="6" t="s">
        <v>16</v>
      </c>
      <c r="C10" s="6" t="s">
        <v>14</v>
      </c>
      <c r="D10" s="6" t="s">
        <v>71</v>
      </c>
      <c r="E10" s="7">
        <v>1200</v>
      </c>
      <c r="F10" s="6" t="s">
        <v>34</v>
      </c>
    </row>
    <row r="11" spans="1:6">
      <c r="A11" s="14" t="s">
        <v>72</v>
      </c>
      <c r="B11" s="6" t="s">
        <v>16</v>
      </c>
      <c r="C11" s="6" t="s">
        <v>27</v>
      </c>
      <c r="D11" s="6" t="s">
        <v>73</v>
      </c>
      <c r="E11" s="7">
        <v>700</v>
      </c>
      <c r="F11" s="6" t="s">
        <v>34</v>
      </c>
    </row>
    <row r="12" spans="1:6">
      <c r="A12" s="14" t="s">
        <v>74</v>
      </c>
      <c r="B12" s="6" t="s">
        <v>16</v>
      </c>
      <c r="C12" s="6" t="s">
        <v>17</v>
      </c>
      <c r="D12" s="6" t="s">
        <v>47</v>
      </c>
      <c r="E12" s="7">
        <v>2500</v>
      </c>
      <c r="F12" s="6" t="s">
        <v>48</v>
      </c>
    </row>
    <row r="13" spans="1:6">
      <c r="A13" s="14" t="s">
        <v>75</v>
      </c>
      <c r="B13" s="6" t="s">
        <v>16</v>
      </c>
      <c r="C13" s="6" t="s">
        <v>21</v>
      </c>
      <c r="D13" s="6" t="s">
        <v>76</v>
      </c>
      <c r="E13" s="7">
        <v>1500</v>
      </c>
      <c r="F13" s="6" t="s">
        <v>34</v>
      </c>
    </row>
    <row r="14" spans="1:6">
      <c r="A14" s="14" t="s">
        <v>32</v>
      </c>
      <c r="B14" s="6" t="s">
        <v>16</v>
      </c>
      <c r="C14" s="6" t="s">
        <v>25</v>
      </c>
      <c r="D14" s="6" t="s">
        <v>33</v>
      </c>
      <c r="E14" s="7">
        <v>900</v>
      </c>
      <c r="F14" s="6" t="s">
        <v>34</v>
      </c>
    </row>
    <row r="15" spans="1:6">
      <c r="A15" s="14" t="s">
        <v>35</v>
      </c>
      <c r="B15" s="6" t="s">
        <v>13</v>
      </c>
      <c r="C15" s="6" t="s">
        <v>36</v>
      </c>
      <c r="D15" s="6" t="s">
        <v>37</v>
      </c>
      <c r="E15" s="7">
        <v>5000</v>
      </c>
      <c r="F15" s="6" t="s">
        <v>38</v>
      </c>
    </row>
    <row r="16" spans="1:6">
      <c r="A16" s="14" t="s">
        <v>39</v>
      </c>
      <c r="B16" s="6" t="s">
        <v>13</v>
      </c>
      <c r="C16" s="6" t="s">
        <v>40</v>
      </c>
      <c r="D16" s="6" t="s">
        <v>41</v>
      </c>
      <c r="E16" s="7">
        <v>50000</v>
      </c>
      <c r="F16" s="6" t="s">
        <v>38</v>
      </c>
    </row>
    <row r="17" spans="1:6">
      <c r="A17" s="14" t="s">
        <v>42</v>
      </c>
      <c r="B17" s="6" t="s">
        <v>16</v>
      </c>
      <c r="C17" s="6" t="s">
        <v>19</v>
      </c>
      <c r="D17" s="6" t="s">
        <v>43</v>
      </c>
      <c r="E17" s="7">
        <v>12000</v>
      </c>
      <c r="F17" s="6" t="s">
        <v>38</v>
      </c>
    </row>
    <row r="18" spans="1:6">
      <c r="A18" s="14" t="s">
        <v>44</v>
      </c>
      <c r="B18" s="6" t="s">
        <v>16</v>
      </c>
      <c r="C18" s="6" t="s">
        <v>14</v>
      </c>
      <c r="D18" s="6" t="s">
        <v>45</v>
      </c>
      <c r="E18" s="7">
        <v>3200</v>
      </c>
      <c r="F18" s="6" t="s">
        <v>34</v>
      </c>
    </row>
    <row r="19" spans="1:6">
      <c r="A19" s="14" t="s">
        <v>46</v>
      </c>
      <c r="B19" s="6" t="s">
        <v>16</v>
      </c>
      <c r="C19" s="6" t="s">
        <v>17</v>
      </c>
      <c r="D19" s="6" t="s">
        <v>47</v>
      </c>
      <c r="E19" s="7">
        <v>2200</v>
      </c>
      <c r="F19" s="6" t="s">
        <v>48</v>
      </c>
    </row>
    <row r="20" spans="1:6">
      <c r="A20" s="14" t="s">
        <v>49</v>
      </c>
      <c r="B20" s="6" t="s">
        <v>16</v>
      </c>
      <c r="C20" s="6" t="s">
        <v>25</v>
      </c>
      <c r="D20" s="6" t="s">
        <v>50</v>
      </c>
      <c r="E20" s="7">
        <v>1700</v>
      </c>
      <c r="F20" s="6" t="s">
        <v>34</v>
      </c>
    </row>
    <row r="21" spans="1:6">
      <c r="A21" s="14" t="s">
        <v>51</v>
      </c>
      <c r="B21" s="6" t="s">
        <v>16</v>
      </c>
      <c r="C21" s="6" t="s">
        <v>23</v>
      </c>
      <c r="D21" s="6" t="s">
        <v>52</v>
      </c>
      <c r="E21" s="7">
        <v>600</v>
      </c>
      <c r="F21" s="6" t="s">
        <v>34</v>
      </c>
    </row>
  </sheetData>
  <autoFilter xmlns:etc="http://www.wps.cn/officeDocument/2017/etCustomData" ref="A1:F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5" outlineLevelRow="4" outlineLevelCol="3"/>
  <cols>
    <col min="1" max="1" width="14" customWidth="1"/>
    <col min="2" max="2" width="22" customWidth="1"/>
    <col min="3" max="3" width="18" customWidth="1"/>
    <col min="4" max="4" width="15" customWidth="1"/>
  </cols>
  <sheetData>
    <row r="1" spans="1:4">
      <c r="A1" s="8" t="s">
        <v>29</v>
      </c>
      <c r="B1" s="8" t="s">
        <v>77</v>
      </c>
      <c r="C1" s="8" t="s">
        <v>11</v>
      </c>
      <c r="D1" s="8" t="s">
        <v>10</v>
      </c>
    </row>
    <row r="2" spans="1:4">
      <c r="A2" s="9" t="s">
        <v>58</v>
      </c>
      <c r="B2" s="9" t="s">
        <v>78</v>
      </c>
      <c r="C2" s="9" t="s">
        <v>40</v>
      </c>
      <c r="D2" s="10">
        <v>50000</v>
      </c>
    </row>
    <row r="3" spans="1:4">
      <c r="A3" s="6" t="s">
        <v>67</v>
      </c>
      <c r="B3" s="6" t="s">
        <v>79</v>
      </c>
      <c r="C3" s="6" t="s">
        <v>68</v>
      </c>
      <c r="D3" s="7">
        <v>8000</v>
      </c>
    </row>
    <row r="4" spans="1:4">
      <c r="A4" s="6" t="s">
        <v>35</v>
      </c>
      <c r="B4" s="6" t="s">
        <v>78</v>
      </c>
      <c r="C4" s="6" t="s">
        <v>36</v>
      </c>
      <c r="D4" s="7">
        <v>5000</v>
      </c>
    </row>
    <row r="5" spans="1:4">
      <c r="A5" s="6" t="s">
        <v>39</v>
      </c>
      <c r="B5" s="6" t="s">
        <v>78</v>
      </c>
      <c r="C5" s="6" t="s">
        <v>40</v>
      </c>
      <c r="D5" s="7">
        <v>50000</v>
      </c>
    </row>
  </sheetData>
  <autoFilter xmlns:etc="http://www.wps.cn/officeDocument/2017/etCustomData" ref="A1:D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pane ySplit="1" topLeftCell="A2" activePane="bottomLeft" state="frozen"/>
      <selection/>
      <selection pane="bottomLeft" activeCell="I12" sqref="I12"/>
    </sheetView>
  </sheetViews>
  <sheetFormatPr defaultColWidth="9" defaultRowHeight="15" outlineLevelCol="3"/>
  <cols>
    <col min="1" max="1" width="14" customWidth="1"/>
    <col min="2" max="2" width="18" customWidth="1"/>
    <col min="3" max="3" width="25" customWidth="1"/>
    <col min="4" max="4" width="15" customWidth="1"/>
  </cols>
  <sheetData>
    <row r="1" spans="1:4">
      <c r="A1" s="5" t="s">
        <v>29</v>
      </c>
      <c r="B1" s="5" t="s">
        <v>11</v>
      </c>
      <c r="C1" s="5" t="s">
        <v>30</v>
      </c>
      <c r="D1" s="5" t="s">
        <v>10</v>
      </c>
    </row>
    <row r="2" spans="1:4">
      <c r="A2" s="6" t="s">
        <v>59</v>
      </c>
      <c r="B2" s="6" t="s">
        <v>14</v>
      </c>
      <c r="C2" s="6" t="s">
        <v>45</v>
      </c>
      <c r="D2" s="7">
        <v>3500</v>
      </c>
    </row>
    <row r="3" spans="1:4">
      <c r="A3" s="6" t="s">
        <v>60</v>
      </c>
      <c r="B3" s="6" t="s">
        <v>17</v>
      </c>
      <c r="C3" s="6" t="s">
        <v>61</v>
      </c>
      <c r="D3" s="7">
        <v>1500</v>
      </c>
    </row>
    <row r="4" spans="1:4">
      <c r="A4" s="6" t="s">
        <v>62</v>
      </c>
      <c r="B4" s="6" t="s">
        <v>19</v>
      </c>
      <c r="C4" s="6" t="s">
        <v>43</v>
      </c>
      <c r="D4" s="7">
        <v>12000</v>
      </c>
    </row>
    <row r="5" spans="1:4">
      <c r="A5" s="6" t="s">
        <v>63</v>
      </c>
      <c r="B5" s="6" t="s">
        <v>21</v>
      </c>
      <c r="C5" s="6" t="s">
        <v>64</v>
      </c>
      <c r="D5" s="7">
        <v>2500</v>
      </c>
    </row>
    <row r="6" spans="1:4">
      <c r="A6" s="6" t="s">
        <v>65</v>
      </c>
      <c r="B6" s="6" t="s">
        <v>23</v>
      </c>
      <c r="C6" s="6" t="s">
        <v>52</v>
      </c>
      <c r="D6" s="7">
        <v>800</v>
      </c>
    </row>
    <row r="7" spans="1:4">
      <c r="A7" s="6" t="s">
        <v>66</v>
      </c>
      <c r="B7" s="6" t="s">
        <v>25</v>
      </c>
      <c r="C7" s="6" t="s">
        <v>50</v>
      </c>
      <c r="D7" s="7">
        <v>1800</v>
      </c>
    </row>
    <row r="8" spans="1:4">
      <c r="A8" s="6" t="s">
        <v>70</v>
      </c>
      <c r="B8" s="6" t="s">
        <v>14</v>
      </c>
      <c r="C8" s="6" t="s">
        <v>71</v>
      </c>
      <c r="D8" s="7">
        <v>1200</v>
      </c>
    </row>
    <row r="9" spans="1:4">
      <c r="A9" s="6" t="s">
        <v>72</v>
      </c>
      <c r="B9" s="6" t="s">
        <v>27</v>
      </c>
      <c r="C9" s="6" t="s">
        <v>73</v>
      </c>
      <c r="D9" s="7">
        <v>700</v>
      </c>
    </row>
    <row r="10" spans="1:4">
      <c r="A10" s="6" t="s">
        <v>74</v>
      </c>
      <c r="B10" s="6" t="s">
        <v>17</v>
      </c>
      <c r="C10" s="6" t="s">
        <v>47</v>
      </c>
      <c r="D10" s="7">
        <v>2500</v>
      </c>
    </row>
    <row r="11" spans="1:4">
      <c r="A11" s="6" t="s">
        <v>75</v>
      </c>
      <c r="B11" s="6" t="s">
        <v>21</v>
      </c>
      <c r="C11" s="6" t="s">
        <v>76</v>
      </c>
      <c r="D11" s="7">
        <v>1500</v>
      </c>
    </row>
    <row r="12" spans="1:4">
      <c r="A12" s="6" t="s">
        <v>32</v>
      </c>
      <c r="B12" s="6" t="s">
        <v>25</v>
      </c>
      <c r="C12" s="6" t="s">
        <v>33</v>
      </c>
      <c r="D12" s="7">
        <v>900</v>
      </c>
    </row>
    <row r="13" spans="1:4">
      <c r="A13" s="6" t="s">
        <v>42</v>
      </c>
      <c r="B13" s="6" t="s">
        <v>19</v>
      </c>
      <c r="C13" s="6" t="s">
        <v>43</v>
      </c>
      <c r="D13" s="7">
        <v>12000</v>
      </c>
    </row>
    <row r="14" spans="1:4">
      <c r="A14" s="6" t="s">
        <v>44</v>
      </c>
      <c r="B14" s="6" t="s">
        <v>14</v>
      </c>
      <c r="C14" s="6" t="s">
        <v>45</v>
      </c>
      <c r="D14" s="7">
        <v>3200</v>
      </c>
    </row>
    <row r="15" spans="1:4">
      <c r="A15" s="6" t="s">
        <v>46</v>
      </c>
      <c r="B15" s="6" t="s">
        <v>17</v>
      </c>
      <c r="C15" s="6" t="s">
        <v>47</v>
      </c>
      <c r="D15" s="7">
        <v>2200</v>
      </c>
    </row>
    <row r="16" spans="1:4">
      <c r="A16" s="6" t="s">
        <v>49</v>
      </c>
      <c r="B16" s="6" t="s">
        <v>25</v>
      </c>
      <c r="C16" s="6" t="s">
        <v>50</v>
      </c>
      <c r="D16" s="7">
        <v>1700</v>
      </c>
    </row>
    <row r="17" spans="1:4">
      <c r="A17" s="6" t="s">
        <v>51</v>
      </c>
      <c r="B17" s="6" t="s">
        <v>23</v>
      </c>
      <c r="C17" s="6" t="s">
        <v>52</v>
      </c>
      <c r="D17" s="7">
        <v>600</v>
      </c>
    </row>
  </sheetData>
  <autoFilter xmlns:etc="http://www.wps.cn/officeDocument/2017/etCustomData" ref="A1:D1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5" outlineLevelRow="2" outlineLevelCol="4"/>
  <cols>
    <col min="1" max="1" width="22" customWidth="1"/>
    <col min="2" max="4" width="16" customWidth="1"/>
    <col min="5" max="5" width="15" customWidth="1"/>
  </cols>
  <sheetData>
    <row r="1" spans="1:5">
      <c r="A1" s="8" t="s">
        <v>54</v>
      </c>
      <c r="B1" s="8" t="s">
        <v>13</v>
      </c>
      <c r="C1" s="8" t="s">
        <v>16</v>
      </c>
      <c r="D1" s="8" t="s">
        <v>55</v>
      </c>
      <c r="E1" s="8" t="s">
        <v>80</v>
      </c>
    </row>
    <row r="2" spans="1:5">
      <c r="A2" s="9" t="s">
        <v>56</v>
      </c>
      <c r="B2" s="10">
        <v>63000</v>
      </c>
      <c r="C2" s="10">
        <v>28900</v>
      </c>
      <c r="D2" s="10">
        <f>B2-C2</f>
        <v>34100</v>
      </c>
      <c r="E2" s="11">
        <f>IF(B2=0,0,D2/B2)</f>
        <v>0.541269841269841</v>
      </c>
    </row>
    <row r="3" spans="1:5">
      <c r="A3" s="6" t="s">
        <v>57</v>
      </c>
      <c r="B3" s="7">
        <v>50000</v>
      </c>
      <c r="C3" s="7">
        <v>19700</v>
      </c>
      <c r="D3" s="7">
        <f>B3-C3</f>
        <v>30300</v>
      </c>
      <c r="E3" s="12">
        <f>IF(B3=0,0,D3/B3)</f>
        <v>0.606</v>
      </c>
    </row>
  </sheetData>
  <conditionalFormatting sqref="E2:E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5" outlineLevelCol="1"/>
  <cols>
    <col min="1" max="1" width="22" customWidth="1"/>
    <col min="2" max="2" width="15" customWidth="1"/>
  </cols>
  <sheetData>
    <row r="1" spans="1:2">
      <c r="A1" s="5" t="s">
        <v>11</v>
      </c>
      <c r="B1" s="5" t="s">
        <v>9</v>
      </c>
    </row>
    <row r="2" spans="1:2">
      <c r="A2" s="6" t="s">
        <v>40</v>
      </c>
      <c r="B2" s="6" t="s">
        <v>13</v>
      </c>
    </row>
    <row r="3" spans="1:2">
      <c r="A3" s="6" t="s">
        <v>68</v>
      </c>
      <c r="B3" s="6" t="s">
        <v>13</v>
      </c>
    </row>
    <row r="4" spans="1:2">
      <c r="A4" s="6" t="s">
        <v>36</v>
      </c>
      <c r="B4" s="6" t="s">
        <v>13</v>
      </c>
    </row>
    <row r="5" spans="1:2">
      <c r="A5" s="6" t="s">
        <v>14</v>
      </c>
      <c r="B5" s="6" t="s">
        <v>16</v>
      </c>
    </row>
    <row r="6" spans="1:2">
      <c r="A6" s="6" t="s">
        <v>17</v>
      </c>
      <c r="B6" s="6" t="s">
        <v>16</v>
      </c>
    </row>
    <row r="7" spans="1:2">
      <c r="A7" s="6" t="s">
        <v>19</v>
      </c>
      <c r="B7" s="6" t="s">
        <v>16</v>
      </c>
    </row>
    <row r="8" spans="1:2">
      <c r="A8" s="6" t="s">
        <v>21</v>
      </c>
      <c r="B8" s="6" t="s">
        <v>16</v>
      </c>
    </row>
    <row r="9" spans="1:2">
      <c r="A9" s="6" t="s">
        <v>23</v>
      </c>
      <c r="B9" s="6" t="s">
        <v>16</v>
      </c>
    </row>
    <row r="10" spans="1:2">
      <c r="A10" s="6" t="s">
        <v>25</v>
      </c>
      <c r="B10" s="6" t="s">
        <v>16</v>
      </c>
    </row>
    <row r="11" spans="1:2">
      <c r="A11" s="6" t="s">
        <v>27</v>
      </c>
      <c r="B11" s="6" t="s">
        <v>16</v>
      </c>
    </row>
    <row r="12" spans="1:2">
      <c r="A12" s="6" t="s">
        <v>81</v>
      </c>
      <c r="B12" s="6" t="s">
        <v>16</v>
      </c>
    </row>
    <row r="13" spans="1:2">
      <c r="A13" s="6" t="s">
        <v>82</v>
      </c>
      <c r="B13" s="6" t="s">
        <v>16</v>
      </c>
    </row>
  </sheetData>
  <autoFilter xmlns:etc="http://www.wps.cn/officeDocument/2017/etCustomData" ref="A1:B1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5" outlineLevelRow="2" outlineLevelCol="3"/>
  <cols>
    <col min="1" max="1" width="22" customWidth="1"/>
    <col min="2" max="2" width="16" customWidth="1"/>
    <col min="3" max="4" width="18" customWidth="1"/>
  </cols>
  <sheetData>
    <row r="1" spans="1:4">
      <c r="A1" s="5" t="s">
        <v>54</v>
      </c>
      <c r="B1" s="5" t="s">
        <v>83</v>
      </c>
      <c r="C1" s="5" t="s">
        <v>84</v>
      </c>
      <c r="D1" s="5" t="s">
        <v>85</v>
      </c>
    </row>
    <row r="2" spans="1:4">
      <c r="A2" s="6" t="s">
        <v>56</v>
      </c>
      <c r="B2" s="7">
        <v>30000</v>
      </c>
      <c r="C2" s="7">
        <v>34100</v>
      </c>
      <c r="D2" s="6" t="str">
        <f>IF(C2&gt;=B2,"Achieved","Not Achieved")</f>
        <v>Achieved</v>
      </c>
    </row>
    <row r="3" spans="1:4">
      <c r="A3" s="6" t="s">
        <v>57</v>
      </c>
      <c r="B3" s="7">
        <v>30000</v>
      </c>
      <c r="C3" s="7">
        <v>30300</v>
      </c>
      <c r="D3" s="6" t="str">
        <f>IF(C3&gt;=B3,"Achieved","Not Achieved")</f>
        <v>Achieved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17" sqref="B17"/>
    </sheetView>
  </sheetViews>
  <sheetFormatPr defaultColWidth="9" defaultRowHeight="15" outlineLevelCol="3"/>
  <cols>
    <col min="1" max="1" width="24" customWidth="1"/>
    <col min="2" max="2" width="32" customWidth="1"/>
    <col min="3" max="4" width="25" customWidth="1"/>
  </cols>
  <sheetData>
    <row r="1" spans="1:4">
      <c r="A1" s="1" t="s">
        <v>86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3" t="s">
        <v>87</v>
      </c>
      <c r="B3" s="4" t="s">
        <v>88</v>
      </c>
      <c r="C3" s="4"/>
      <c r="D3" s="4"/>
    </row>
    <row r="4" spans="1:4">
      <c r="A4" s="3" t="s">
        <v>89</v>
      </c>
      <c r="B4" s="4" t="s">
        <v>90</v>
      </c>
      <c r="C4" s="4"/>
      <c r="D4" s="4"/>
    </row>
    <row r="5" spans="1:4">
      <c r="A5" s="3" t="s">
        <v>91</v>
      </c>
      <c r="B5" s="4" t="s">
        <v>92</v>
      </c>
      <c r="C5" s="4"/>
      <c r="D5" s="4"/>
    </row>
    <row r="6" spans="1:4">
      <c r="A6" s="3" t="s">
        <v>93</v>
      </c>
      <c r="B6" s="4" t="s">
        <v>94</v>
      </c>
      <c r="C6" s="4"/>
      <c r="D6" s="4"/>
    </row>
    <row r="7" spans="1:4">
      <c r="A7" s="3" t="s">
        <v>95</v>
      </c>
      <c r="B7" s="4" t="s">
        <v>96</v>
      </c>
      <c r="C7" s="4"/>
      <c r="D7" s="4"/>
    </row>
    <row r="8" spans="1:4">
      <c r="A8" s="3" t="s">
        <v>97</v>
      </c>
      <c r="B8" s="4" t="s">
        <v>98</v>
      </c>
      <c r="C8" s="4"/>
      <c r="D8" s="4"/>
    </row>
    <row r="9" spans="1:4">
      <c r="A9" s="3" t="s">
        <v>99</v>
      </c>
      <c r="B9" s="4" t="s">
        <v>100</v>
      </c>
      <c r="C9" s="4"/>
      <c r="D9" s="4"/>
    </row>
    <row r="10" spans="1:4">
      <c r="A10" s="3" t="s">
        <v>101</v>
      </c>
      <c r="B10" s="4" t="s">
        <v>102</v>
      </c>
      <c r="C10" s="4"/>
      <c r="D10" s="4"/>
    </row>
  </sheetData>
  <mergeCells count="9">
    <mergeCell ref="B3:D3"/>
    <mergeCell ref="B4:D4"/>
    <mergeCell ref="B5:D5"/>
    <mergeCell ref="B6:D6"/>
    <mergeCell ref="B7:D7"/>
    <mergeCell ref="B8:D8"/>
    <mergeCell ref="B9:D9"/>
    <mergeCell ref="B10:D10"/>
    <mergeCell ref="A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Transactions</vt:lpstr>
      <vt:lpstr>Income</vt:lpstr>
      <vt:lpstr>Expense</vt:lpstr>
      <vt:lpstr>Monthly Summary</vt:lpstr>
      <vt:lpstr>Categories</vt:lpstr>
      <vt:lpstr>Saving Tracker</vt:lpstr>
      <vt:lpstr>Project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AIDASH</cp:lastModifiedBy>
  <dcterms:created xsi:type="dcterms:W3CDTF">2026-10-04T05:04:00Z</dcterms:created>
  <dcterms:modified xsi:type="dcterms:W3CDTF">2026-10-04T05:16:25Z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3CB5774D0F024D3B8BB92ADF32B9668C_13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